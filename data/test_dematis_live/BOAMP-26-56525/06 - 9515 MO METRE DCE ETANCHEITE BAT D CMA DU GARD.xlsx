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S:\Achats\CONSULTATION PROCEDURE EN COURS\EN COURS DE REDACTION\CMA30 - ETANCHEITE TOITURE\2.DCE\"/>
    </mc:Choice>
  </mc:AlternateContent>
  <xr:revisionPtr revIDLastSave="0" documentId="13_ncr:1_{682F0777-91A8-4872-A5CC-EE0D8BB09CC8}" xr6:coauthVersionLast="47" xr6:coauthVersionMax="47" xr10:uidLastSave="{00000000-0000-0000-0000-000000000000}"/>
  <bookViews>
    <workbookView xWindow="9525" yWindow="2985" windowWidth="17610" windowHeight="11295" xr2:uid="{BBBC02FF-F5AD-488A-B159-405ADE8D4AD7}"/>
  </bookViews>
  <sheets>
    <sheet name="Feuille1" sheetId="6" r:id="rId1"/>
  </sheets>
  <definedNames>
    <definedName name="_xlnm.Print_Titles" localSheetId="0">Feuille1!$16:$16</definedName>
    <definedName name="_xlnm.Print_Area" localSheetId="0">Feuille1!$A$1:$H$59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6" l="1"/>
  <c r="H41" i="6"/>
  <c r="E35" i="6"/>
  <c r="H35" i="6" s="1"/>
  <c r="E33" i="6"/>
  <c r="H33" i="6" s="1"/>
  <c r="H43" i="6"/>
  <c r="E30" i="6"/>
  <c r="E31" i="6" s="1"/>
  <c r="H31" i="6" s="1"/>
  <c r="E23" i="6"/>
  <c r="H23" i="6" s="1"/>
  <c r="E34" i="6"/>
  <c r="H34" i="6" s="1"/>
  <c r="H25" i="6"/>
  <c r="H42" i="6"/>
  <c r="H38" i="6"/>
  <c r="H44" i="6"/>
  <c r="H21" i="6"/>
  <c r="H22" i="6"/>
  <c r="H24" i="6"/>
  <c r="H26" i="6"/>
  <c r="H40" i="6"/>
  <c r="H48" i="6"/>
  <c r="E39" i="6" l="1"/>
  <c r="E32" i="6"/>
  <c r="H32" i="6" s="1"/>
  <c r="H30" i="6"/>
  <c r="H39" i="6" l="1"/>
  <c r="H51" i="6" s="1"/>
  <c r="H52" i="6" l="1"/>
  <c r="H53" i="6" s="1"/>
</calcChain>
</file>

<file path=xl/sharedStrings.xml><?xml version="1.0" encoding="utf-8"?>
<sst xmlns="http://schemas.openxmlformats.org/spreadsheetml/2006/main" count="85" uniqueCount="68">
  <si>
    <t>n°</t>
  </si>
  <si>
    <t>Article</t>
  </si>
  <si>
    <t>U.</t>
  </si>
  <si>
    <t>Prix U.</t>
  </si>
  <si>
    <t>F</t>
  </si>
  <si>
    <t>m²</t>
  </si>
  <si>
    <t>ml</t>
  </si>
  <si>
    <t>TOTAL HT</t>
  </si>
  <si>
    <t>MONTANT TOTAL TTC</t>
  </si>
  <si>
    <t>U</t>
  </si>
  <si>
    <t>1.2.</t>
  </si>
  <si>
    <t>1.1.</t>
  </si>
  <si>
    <t>1.2.1.</t>
  </si>
  <si>
    <t>TRAVAUX PREPARATOIRES</t>
  </si>
  <si>
    <t>Installation de chantier</t>
  </si>
  <si>
    <t>Dépose de l'étanchéité existante</t>
  </si>
  <si>
    <t>TRAVAUX NEUFS</t>
  </si>
  <si>
    <t>Etanchéité sous protection lourde</t>
  </si>
  <si>
    <t>Nettoyage, évacuation, mise en décharge</t>
  </si>
  <si>
    <t>Pare vapeur</t>
  </si>
  <si>
    <t>OUVRAGES ANNEXES</t>
  </si>
  <si>
    <t>1.4.</t>
  </si>
  <si>
    <t>IMPREVU DE CHANTIER</t>
  </si>
  <si>
    <t>1.1.1</t>
  </si>
  <si>
    <t>1.1.2</t>
  </si>
  <si>
    <t>1.1.3</t>
  </si>
  <si>
    <t>Remise en place gravier</t>
  </si>
  <si>
    <t>Protection des relevés</t>
  </si>
  <si>
    <t>1.3.1</t>
  </si>
  <si>
    <t>1.3</t>
  </si>
  <si>
    <t>1.3.2</t>
  </si>
  <si>
    <t>1.3.3</t>
  </si>
  <si>
    <t>Isolant R=4,5</t>
  </si>
  <si>
    <t xml:space="preserve">Date : </t>
  </si>
  <si>
    <t>Tampon et signature :</t>
  </si>
  <si>
    <t>TOTAL GENERAL HT</t>
  </si>
  <si>
    <t>Levage</t>
  </si>
  <si>
    <t>TVA 20%</t>
  </si>
  <si>
    <t>CHAMBRE DE METIERS ET DE L'ARTISANAT DU GARD - 30900 NIMES</t>
  </si>
  <si>
    <t>CABINET MICHEL SANCHEZ</t>
  </si>
  <si>
    <t>BET &amp; Maîtrise d'Œuvre, Economie, Expertise construction, Coordination SPS</t>
  </si>
  <si>
    <t>accueil@cabinet-michelsanchez.fr - www.cabinet-michelsanchez.fr</t>
  </si>
  <si>
    <t>N° devis :</t>
  </si>
  <si>
    <t>Qté MOE</t>
  </si>
  <si>
    <t>Qté ENT</t>
  </si>
  <si>
    <t>1.3.4</t>
  </si>
  <si>
    <t>1.3.5</t>
  </si>
  <si>
    <t>Moignon plomb EP 160mm</t>
  </si>
  <si>
    <t>Remise en service asservissement désenfumage</t>
  </si>
  <si>
    <t>Protection périphérique (y compris déplacement du garde-corps existant)</t>
  </si>
  <si>
    <t>Bicouche élastomère</t>
  </si>
  <si>
    <t>Couvertine</t>
  </si>
  <si>
    <t>1 rue Louis Feuillade - 30900 NIMES / TEL 04.66.62.60.05</t>
  </si>
  <si>
    <t>SARL capital 7.622,45 € - SIRET 340145077 00053 - NAF 7112B - N°TVA intracom : FR93340145077</t>
  </si>
  <si>
    <t>DECOMPOSITION DES PRIX GLOBALE ET FORFAITAIRE</t>
  </si>
  <si>
    <t>1.</t>
  </si>
  <si>
    <t>LOT ETANCHEITE</t>
  </si>
  <si>
    <t>LOT UNIQUE - ETANCHEITE TOITURE D</t>
  </si>
  <si>
    <t>Démolition évacuation dalles béton sous petite CTA</t>
  </si>
  <si>
    <t>1.3.6</t>
  </si>
  <si>
    <t>Remplacement lanterneau désenfumage 3,20m x 3,20m</t>
  </si>
  <si>
    <t>Remplacement châssis zenithal 1,00m x 1,00m</t>
  </si>
  <si>
    <t>Relevés d'étanchéité (y compris plots béton des équipements de ventilation)</t>
  </si>
  <si>
    <t>Echafaudage sous face de châssis depuis le hall</t>
  </si>
  <si>
    <t>Sapine accès toiture</t>
  </si>
  <si>
    <t>Dalles béton gravillonnées sous petite CTA</t>
  </si>
  <si>
    <t>Dépose repose panneaux métalliques</t>
  </si>
  <si>
    <t>MARCHE 2026.OCC.015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</si>
</sst>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_-* #,##0.00\ [$€]_-;\-* #,##0.00\ [$€]_-;_-* &quot;-&quot;??\ [$€]_-;_-@_-"/>
    <numFmt numFmtId="166" formatCode="#,##0.00&quot; €&quot;"/>
  </numFmts>
  <fonts count="14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b/>
      <sz val="12"/>
      <color indexed="23"/>
      <name val="Arial"/>
      <family val="2"/>
    </font>
    <font>
      <b/>
      <sz val="9"/>
      <color indexed="23"/>
      <name val="Arial"/>
      <family val="2"/>
    </font>
    <font>
      <b/>
      <sz val="8"/>
      <color indexed="23"/>
      <name val="Arial"/>
      <family val="2"/>
    </font>
    <font>
      <sz val="8"/>
      <name val="Arial"/>
    </font>
    <font>
      <b/>
      <sz val="10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164" fontId="2" fillId="0" borderId="5" xfId="0" applyNumberFormat="1" applyFont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3" xfId="0" applyNumberFormat="1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164" fontId="2" fillId="0" borderId="6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2" fontId="2" fillId="0" borderId="10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right"/>
    </xf>
    <xf numFmtId="2" fontId="2" fillId="0" borderId="11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7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2" fillId="0" borderId="11" xfId="0" applyFont="1" applyBorder="1" applyAlignment="1">
      <alignment horizontal="left"/>
    </xf>
    <xf numFmtId="0" fontId="4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left" vertical="center"/>
    </xf>
    <xf numFmtId="2" fontId="3" fillId="0" borderId="6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0" fontId="2" fillId="0" borderId="0" xfId="0" applyFont="1" applyAlignment="1">
      <alignment horizontal="left" wrapText="1"/>
    </xf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</cellXfs>
  <cellStyles count="2">
    <cellStyle name="Euro" xfId="1" xr:uid="{04B9BAD1-E697-4D1B-A81F-A302A583762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15240</xdr:rowOff>
    </xdr:from>
    <xdr:to>
      <xdr:col>1</xdr:col>
      <xdr:colOff>388620</xdr:colOff>
      <xdr:row>4</xdr:row>
      <xdr:rowOff>160020</xdr:rowOff>
    </xdr:to>
    <xdr:pic>
      <xdr:nvPicPr>
        <xdr:cNvPr id="6175" name="Image 2" descr="Logo CMS mo">
          <a:extLst>
            <a:ext uri="{FF2B5EF4-FFF2-40B4-BE49-F238E27FC236}">
              <a16:creationId xmlns:a16="http://schemas.microsoft.com/office/drawing/2014/main" id="{A3667A98-A0CC-AB58-6A8B-874856D82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15240"/>
          <a:ext cx="92964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2C7B-5413-4FD9-80CA-04637A72EA74}">
  <dimension ref="A1:I59"/>
  <sheetViews>
    <sheetView tabSelected="1" view="pageBreakPreview" topLeftCell="A33" zoomScaleNormal="100" zoomScaleSheetLayoutView="100" workbookViewId="0">
      <selection activeCell="B20" sqref="B20:C20"/>
    </sheetView>
  </sheetViews>
  <sheetFormatPr baseColWidth="10" defaultColWidth="11.42578125" defaultRowHeight="12.75" x14ac:dyDescent="0.2"/>
  <cols>
    <col min="1" max="1" width="8.28515625" style="26" customWidth="1"/>
    <col min="2" max="2" width="6.28515625" style="26" customWidth="1"/>
    <col min="3" max="3" width="46.42578125" style="25" customWidth="1"/>
    <col min="4" max="4" width="5.7109375" style="23" customWidth="1"/>
    <col min="5" max="5" width="9.42578125" style="34" customWidth="1"/>
    <col min="6" max="6" width="8.7109375" style="34" customWidth="1"/>
    <col min="7" max="7" width="11.42578125" style="22" customWidth="1"/>
    <col min="8" max="8" width="14.5703125" style="22" customWidth="1"/>
    <col min="9" max="9" width="11.7109375" style="24" bestFit="1" customWidth="1"/>
    <col min="10" max="16384" width="11.42578125" style="25"/>
  </cols>
  <sheetData>
    <row r="1" spans="1:9" customFormat="1" ht="15.75" x14ac:dyDescent="0.2">
      <c r="A1" s="60"/>
      <c r="B1" s="60"/>
      <c r="C1" s="70" t="s">
        <v>39</v>
      </c>
      <c r="D1" s="61"/>
      <c r="E1" s="62"/>
      <c r="F1" s="62"/>
      <c r="G1" s="63"/>
      <c r="H1" s="63"/>
      <c r="I1" s="64"/>
    </row>
    <row r="2" spans="1:9" customFormat="1" ht="18" x14ac:dyDescent="0.25">
      <c r="A2" s="60"/>
      <c r="B2" s="68"/>
      <c r="C2" s="71" t="s">
        <v>40</v>
      </c>
      <c r="D2" s="68"/>
      <c r="E2" s="68"/>
      <c r="F2" s="68"/>
      <c r="G2" s="68"/>
      <c r="H2" s="63"/>
      <c r="I2" s="64"/>
    </row>
    <row r="3" spans="1:9" customFormat="1" ht="14.25" x14ac:dyDescent="0.2">
      <c r="A3" s="60"/>
      <c r="B3" s="69"/>
      <c r="C3" s="72" t="s">
        <v>52</v>
      </c>
      <c r="D3" s="69"/>
      <c r="E3" s="69"/>
      <c r="F3" s="69"/>
      <c r="G3" s="69"/>
      <c r="H3" s="63"/>
      <c r="I3" s="64"/>
    </row>
    <row r="4" spans="1:9" customFormat="1" ht="14.25" x14ac:dyDescent="0.2">
      <c r="A4" s="60"/>
      <c r="B4" s="69"/>
      <c r="C4" s="73" t="s">
        <v>53</v>
      </c>
      <c r="D4" s="69"/>
      <c r="E4" s="69"/>
      <c r="F4" s="69"/>
      <c r="G4" s="69"/>
      <c r="H4" s="63"/>
      <c r="I4" s="64"/>
    </row>
    <row r="5" spans="1:9" customFormat="1" x14ac:dyDescent="0.2">
      <c r="A5" s="60"/>
      <c r="B5" s="25"/>
      <c r="C5" s="73" t="s">
        <v>41</v>
      </c>
      <c r="D5" s="25"/>
      <c r="E5" s="25"/>
      <c r="F5" s="25"/>
      <c r="G5" s="25"/>
      <c r="H5" s="63"/>
      <c r="I5" s="64"/>
    </row>
    <row r="6" spans="1:9" customFormat="1" x14ac:dyDescent="0.2">
      <c r="A6" s="60"/>
      <c r="B6" s="25"/>
      <c r="C6" s="25"/>
      <c r="D6" s="25"/>
      <c r="E6" s="25"/>
      <c r="F6" s="25"/>
      <c r="G6" s="25"/>
      <c r="H6" s="63"/>
      <c r="I6" s="64"/>
    </row>
    <row r="7" spans="1:9" ht="15" customHeight="1" thickBot="1" x14ac:dyDescent="0.25"/>
    <row r="8" spans="1:9" ht="13.5" thickBot="1" x14ac:dyDescent="0.25">
      <c r="A8" s="77" t="s">
        <v>54</v>
      </c>
      <c r="B8" s="78"/>
      <c r="C8" s="78"/>
      <c r="D8" s="78"/>
      <c r="E8" s="78"/>
      <c r="F8" s="78"/>
      <c r="G8" s="78"/>
      <c r="H8" s="79"/>
    </row>
    <row r="9" spans="1:9" ht="10.5" customHeight="1" x14ac:dyDescent="0.2">
      <c r="A9" s="2"/>
      <c r="B9" s="2"/>
      <c r="C9" s="2"/>
      <c r="D9" s="2"/>
      <c r="E9" s="2"/>
      <c r="F9" s="2"/>
      <c r="G9" s="2"/>
      <c r="H9" s="2"/>
    </row>
    <row r="10" spans="1:9" ht="10.5" customHeight="1" thickBot="1" x14ac:dyDescent="0.25"/>
    <row r="11" spans="1:9" ht="13.5" thickBot="1" x14ac:dyDescent="0.25">
      <c r="A11" s="77" t="s">
        <v>38</v>
      </c>
      <c r="B11" s="78"/>
      <c r="C11" s="78"/>
      <c r="D11" s="78"/>
      <c r="E11" s="78"/>
      <c r="F11" s="78"/>
      <c r="G11" s="78"/>
      <c r="H11" s="79"/>
    </row>
    <row r="12" spans="1:9" x14ac:dyDescent="0.2">
      <c r="A12" s="2"/>
      <c r="B12" s="2"/>
      <c r="C12" s="2"/>
      <c r="D12" s="2"/>
      <c r="E12" s="2"/>
      <c r="F12" s="2"/>
      <c r="G12" s="2"/>
      <c r="H12" s="2"/>
    </row>
    <row r="13" spans="1:9" customFormat="1" ht="15.75" x14ac:dyDescent="0.25">
      <c r="A13" s="80" t="s">
        <v>67</v>
      </c>
      <c r="B13" s="80"/>
      <c r="C13" s="80"/>
      <c r="D13" s="59"/>
      <c r="E13" s="59"/>
      <c r="F13" s="59"/>
      <c r="G13" s="59"/>
      <c r="H13" s="59"/>
      <c r="I13" s="64"/>
    </row>
    <row r="14" spans="1:9" ht="15.75" x14ac:dyDescent="0.25">
      <c r="A14" s="81" t="s">
        <v>57</v>
      </c>
      <c r="B14" s="81"/>
      <c r="C14" s="81"/>
      <c r="D14" s="81"/>
      <c r="E14" s="81"/>
      <c r="F14" s="81"/>
      <c r="G14" s="81"/>
      <c r="H14" s="81"/>
    </row>
    <row r="15" spans="1:9" ht="15" customHeight="1" x14ac:dyDescent="0.2"/>
    <row r="16" spans="1:9" s="2" customFormat="1" ht="16.5" customHeight="1" x14ac:dyDescent="0.2">
      <c r="A16" s="6" t="s">
        <v>0</v>
      </c>
      <c r="B16" s="82" t="s">
        <v>1</v>
      </c>
      <c r="C16" s="83"/>
      <c r="D16" s="6" t="s">
        <v>2</v>
      </c>
      <c r="E16" s="7" t="s">
        <v>43</v>
      </c>
      <c r="F16" s="7" t="s">
        <v>44</v>
      </c>
      <c r="G16" s="8" t="s">
        <v>3</v>
      </c>
      <c r="H16" s="8" t="s">
        <v>7</v>
      </c>
      <c r="I16" s="15"/>
    </row>
    <row r="17" spans="1:9" s="2" customFormat="1" ht="9.9499999999999993" customHeight="1" x14ac:dyDescent="0.2">
      <c r="A17" s="18"/>
      <c r="B17" s="19"/>
      <c r="C17" s="20"/>
      <c r="D17" s="18"/>
      <c r="E17" s="57"/>
      <c r="F17" s="57"/>
      <c r="G17" s="21"/>
      <c r="H17" s="21"/>
      <c r="I17" s="15"/>
    </row>
    <row r="18" spans="1:9" s="2" customFormat="1" ht="11.25" customHeight="1" x14ac:dyDescent="0.2">
      <c r="A18" s="3" t="s">
        <v>55</v>
      </c>
      <c r="B18" s="88" t="s">
        <v>56</v>
      </c>
      <c r="C18" s="89"/>
      <c r="D18" s="4"/>
      <c r="E18" s="58"/>
      <c r="F18" s="58"/>
      <c r="G18" s="67"/>
      <c r="H18" s="67"/>
      <c r="I18" s="15"/>
    </row>
    <row r="19" spans="1:9" s="1" customFormat="1" x14ac:dyDescent="0.2">
      <c r="A19" s="31" t="s">
        <v>11</v>
      </c>
      <c r="B19" s="84" t="s">
        <v>13</v>
      </c>
      <c r="C19" s="85"/>
      <c r="D19" s="4"/>
      <c r="E19" s="58"/>
      <c r="F19" s="58"/>
      <c r="G19" s="5"/>
      <c r="H19" s="5"/>
      <c r="I19" s="16"/>
    </row>
    <row r="20" spans="1:9" s="1" customFormat="1" ht="12.75" customHeight="1" x14ac:dyDescent="0.2">
      <c r="A20" s="36" t="s">
        <v>23</v>
      </c>
      <c r="B20" s="86" t="s">
        <v>14</v>
      </c>
      <c r="C20" s="87"/>
      <c r="D20" s="13"/>
      <c r="E20" s="37"/>
      <c r="F20" s="37"/>
      <c r="G20" s="14"/>
      <c r="H20" s="5"/>
      <c r="I20" s="16"/>
    </row>
    <row r="21" spans="1:9" s="1" customFormat="1" ht="12.75" customHeight="1" x14ac:dyDescent="0.2">
      <c r="A21" s="36"/>
      <c r="B21" s="86" t="s">
        <v>64</v>
      </c>
      <c r="C21" s="87"/>
      <c r="D21" s="13" t="s">
        <v>4</v>
      </c>
      <c r="E21" s="37">
        <v>1</v>
      </c>
      <c r="F21" s="37"/>
      <c r="G21" s="14">
        <v>0</v>
      </c>
      <c r="H21" s="14">
        <f t="shared" ref="H21:H26" si="0">E21*G21</f>
        <v>0</v>
      </c>
      <c r="I21" s="16"/>
    </row>
    <row r="22" spans="1:9" s="1" customFormat="1" ht="12.75" customHeight="1" x14ac:dyDescent="0.2">
      <c r="A22" s="36"/>
      <c r="B22" s="86" t="s">
        <v>36</v>
      </c>
      <c r="C22" s="87"/>
      <c r="D22" s="13" t="s">
        <v>4</v>
      </c>
      <c r="E22" s="37">
        <v>1</v>
      </c>
      <c r="F22" s="37"/>
      <c r="G22" s="14">
        <v>0</v>
      </c>
      <c r="H22" s="14">
        <f t="shared" si="0"/>
        <v>0</v>
      </c>
      <c r="I22" s="16"/>
    </row>
    <row r="23" spans="1:9" s="1" customFormat="1" ht="27.75" customHeight="1" x14ac:dyDescent="0.2">
      <c r="A23" s="36"/>
      <c r="B23" s="86" t="s">
        <v>49</v>
      </c>
      <c r="C23" s="87"/>
      <c r="D23" s="13" t="s">
        <v>6</v>
      </c>
      <c r="E23" s="37">
        <f>66+13</f>
        <v>79</v>
      </c>
      <c r="F23" s="37"/>
      <c r="G23" s="14">
        <v>0</v>
      </c>
      <c r="H23" s="14">
        <f t="shared" si="0"/>
        <v>0</v>
      </c>
      <c r="I23" s="16"/>
    </row>
    <row r="24" spans="1:9" s="1" customFormat="1" ht="12.75" customHeight="1" x14ac:dyDescent="0.2">
      <c r="A24" s="36" t="s">
        <v>24</v>
      </c>
      <c r="B24" s="86" t="s">
        <v>15</v>
      </c>
      <c r="C24" s="87"/>
      <c r="D24" s="13" t="s">
        <v>5</v>
      </c>
      <c r="E24" s="37">
        <v>559</v>
      </c>
      <c r="F24" s="37"/>
      <c r="G24" s="14">
        <v>0</v>
      </c>
      <c r="H24" s="14">
        <f t="shared" si="0"/>
        <v>0</v>
      </c>
      <c r="I24" s="16"/>
    </row>
    <row r="25" spans="1:9" s="1" customFormat="1" ht="12.75" customHeight="1" x14ac:dyDescent="0.2">
      <c r="A25" s="36"/>
      <c r="B25" s="86" t="s">
        <v>18</v>
      </c>
      <c r="C25" s="87"/>
      <c r="D25" s="13" t="s">
        <v>4</v>
      </c>
      <c r="E25" s="37">
        <v>1</v>
      </c>
      <c r="F25" s="37"/>
      <c r="G25" s="14">
        <v>0</v>
      </c>
      <c r="H25" s="14">
        <f t="shared" si="0"/>
        <v>0</v>
      </c>
      <c r="I25" s="16"/>
    </row>
    <row r="26" spans="1:9" s="1" customFormat="1" ht="12.75" customHeight="1" x14ac:dyDescent="0.2">
      <c r="A26" s="36" t="s">
        <v>25</v>
      </c>
      <c r="B26" s="86" t="s">
        <v>58</v>
      </c>
      <c r="C26" s="87"/>
      <c r="D26" s="13" t="s">
        <v>4</v>
      </c>
      <c r="E26" s="37">
        <v>1</v>
      </c>
      <c r="F26" s="37"/>
      <c r="G26" s="14">
        <v>0</v>
      </c>
      <c r="H26" s="14">
        <f t="shared" si="0"/>
        <v>0</v>
      </c>
      <c r="I26" s="16"/>
    </row>
    <row r="27" spans="1:9" s="1" customFormat="1" ht="12.75" customHeight="1" x14ac:dyDescent="0.2">
      <c r="A27" s="36"/>
      <c r="B27" s="38"/>
      <c r="C27" s="39"/>
      <c r="D27" s="13"/>
      <c r="E27" s="37"/>
      <c r="F27" s="37"/>
      <c r="G27" s="14"/>
      <c r="H27" s="14"/>
      <c r="I27" s="16"/>
    </row>
    <row r="28" spans="1:9" s="1" customFormat="1" x14ac:dyDescent="0.2">
      <c r="A28" s="3" t="s">
        <v>10</v>
      </c>
      <c r="B28" s="10" t="s">
        <v>16</v>
      </c>
      <c r="C28" s="9"/>
      <c r="D28" s="4"/>
      <c r="E28" s="66"/>
      <c r="F28" s="66"/>
      <c r="G28" s="14"/>
      <c r="H28" s="14"/>
      <c r="I28" s="16"/>
    </row>
    <row r="29" spans="1:9" s="1" customFormat="1" x14ac:dyDescent="0.2">
      <c r="A29" s="12" t="s">
        <v>12</v>
      </c>
      <c r="B29" s="90" t="s">
        <v>17</v>
      </c>
      <c r="C29" s="91"/>
      <c r="D29" s="13"/>
      <c r="E29" s="37"/>
      <c r="F29" s="37"/>
      <c r="G29" s="14"/>
      <c r="H29" s="14"/>
      <c r="I29" s="16"/>
    </row>
    <row r="30" spans="1:9" s="1" customFormat="1" x14ac:dyDescent="0.2">
      <c r="A30" s="12"/>
      <c r="B30" s="75" t="s">
        <v>19</v>
      </c>
      <c r="C30" s="76"/>
      <c r="D30" s="13" t="s">
        <v>5</v>
      </c>
      <c r="E30" s="37">
        <f>E24</f>
        <v>559</v>
      </c>
      <c r="F30" s="37"/>
      <c r="G30" s="14">
        <v>0</v>
      </c>
      <c r="H30" s="14">
        <f t="shared" ref="H30:H32" si="1">E30*G30</f>
        <v>0</v>
      </c>
      <c r="I30" s="16"/>
    </row>
    <row r="31" spans="1:9" s="1" customFormat="1" x14ac:dyDescent="0.2">
      <c r="A31" s="12"/>
      <c r="B31" s="75" t="s">
        <v>32</v>
      </c>
      <c r="C31" s="76"/>
      <c r="D31" s="13" t="s">
        <v>5</v>
      </c>
      <c r="E31" s="37">
        <f>E30</f>
        <v>559</v>
      </c>
      <c r="F31" s="37"/>
      <c r="G31" s="14">
        <v>0</v>
      </c>
      <c r="H31" s="14">
        <f t="shared" si="1"/>
        <v>0</v>
      </c>
      <c r="I31" s="16"/>
    </row>
    <row r="32" spans="1:9" s="1" customFormat="1" x14ac:dyDescent="0.2">
      <c r="A32" s="12"/>
      <c r="B32" s="75" t="s">
        <v>50</v>
      </c>
      <c r="C32" s="76"/>
      <c r="D32" s="13" t="s">
        <v>5</v>
      </c>
      <c r="E32" s="37">
        <f>E31</f>
        <v>559</v>
      </c>
      <c r="F32" s="37"/>
      <c r="G32" s="14">
        <v>0</v>
      </c>
      <c r="H32" s="14">
        <f t="shared" si="1"/>
        <v>0</v>
      </c>
      <c r="I32" s="16"/>
    </row>
    <row r="33" spans="1:9" s="1" customFormat="1" ht="25.5" customHeight="1" x14ac:dyDescent="0.2">
      <c r="A33" s="12"/>
      <c r="B33" s="86" t="s">
        <v>62</v>
      </c>
      <c r="C33" s="87"/>
      <c r="D33" s="13" t="s">
        <v>6</v>
      </c>
      <c r="E33" s="37">
        <f>66+22+13+11+4*2+3.2*4+14*4</f>
        <v>188.8</v>
      </c>
      <c r="F33" s="37"/>
      <c r="G33" s="14">
        <v>0</v>
      </c>
      <c r="H33" s="14">
        <f t="shared" ref="H33:H35" si="2">E33*G33</f>
        <v>0</v>
      </c>
      <c r="I33" s="16"/>
    </row>
    <row r="34" spans="1:9" s="1" customFormat="1" x14ac:dyDescent="0.2">
      <c r="A34" s="12"/>
      <c r="B34" s="75" t="s">
        <v>27</v>
      </c>
      <c r="C34" s="76"/>
      <c r="D34" s="13" t="s">
        <v>6</v>
      </c>
      <c r="E34" s="37">
        <f>6*4</f>
        <v>24</v>
      </c>
      <c r="F34" s="37"/>
      <c r="G34" s="14">
        <v>0</v>
      </c>
      <c r="H34" s="14">
        <f t="shared" si="2"/>
        <v>0</v>
      </c>
      <c r="I34" s="16"/>
    </row>
    <row r="35" spans="1:9" s="1" customFormat="1" x14ac:dyDescent="0.2">
      <c r="A35" s="12"/>
      <c r="B35" s="75" t="s">
        <v>26</v>
      </c>
      <c r="C35" s="76"/>
      <c r="D35" s="13" t="s">
        <v>5</v>
      </c>
      <c r="E35" s="37">
        <f>E24</f>
        <v>559</v>
      </c>
      <c r="F35" s="37"/>
      <c r="G35" s="14">
        <v>0</v>
      </c>
      <c r="H35" s="14">
        <f t="shared" si="2"/>
        <v>0</v>
      </c>
      <c r="I35" s="16"/>
    </row>
    <row r="36" spans="1:9" s="1" customFormat="1" x14ac:dyDescent="0.2">
      <c r="A36" s="12"/>
      <c r="B36" s="75"/>
      <c r="C36" s="76"/>
      <c r="D36" s="13"/>
      <c r="E36" s="37"/>
      <c r="F36" s="37"/>
      <c r="G36" s="14"/>
      <c r="H36" s="14"/>
      <c r="I36" s="16"/>
    </row>
    <row r="37" spans="1:9" s="1" customFormat="1" x14ac:dyDescent="0.2">
      <c r="A37" s="3" t="s">
        <v>29</v>
      </c>
      <c r="B37" s="84" t="s">
        <v>20</v>
      </c>
      <c r="C37" s="85"/>
      <c r="D37" s="4"/>
      <c r="E37" s="66"/>
      <c r="F37" s="66"/>
      <c r="G37" s="14"/>
      <c r="H37" s="14"/>
      <c r="I37" s="16"/>
    </row>
    <row r="38" spans="1:9" s="1" customFormat="1" ht="12.75" customHeight="1" x14ac:dyDescent="0.2">
      <c r="A38" s="36" t="s">
        <v>28</v>
      </c>
      <c r="B38" s="86" t="s">
        <v>47</v>
      </c>
      <c r="C38" s="87"/>
      <c r="D38" s="13" t="s">
        <v>9</v>
      </c>
      <c r="E38" s="37">
        <v>3</v>
      </c>
      <c r="F38" s="37"/>
      <c r="G38" s="14">
        <v>0</v>
      </c>
      <c r="H38" s="14">
        <f t="shared" ref="H38:H43" si="3">E38*G38</f>
        <v>0</v>
      </c>
      <c r="I38" s="16"/>
    </row>
    <row r="39" spans="1:9" s="1" customFormat="1" ht="12.75" customHeight="1" x14ac:dyDescent="0.2">
      <c r="A39" s="36" t="s">
        <v>30</v>
      </c>
      <c r="B39" s="86" t="s">
        <v>51</v>
      </c>
      <c r="C39" s="87"/>
      <c r="D39" s="13" t="s">
        <v>6</v>
      </c>
      <c r="E39" s="37">
        <f>E23</f>
        <v>79</v>
      </c>
      <c r="F39" s="37"/>
      <c r="G39" s="14">
        <v>0</v>
      </c>
      <c r="H39" s="14">
        <f>E39*G39</f>
        <v>0</v>
      </c>
      <c r="I39" s="16"/>
    </row>
    <row r="40" spans="1:9" s="1" customFormat="1" ht="12.75" customHeight="1" x14ac:dyDescent="0.2">
      <c r="A40" s="36" t="s">
        <v>31</v>
      </c>
      <c r="B40" s="86" t="s">
        <v>60</v>
      </c>
      <c r="C40" s="87"/>
      <c r="D40" s="13" t="s">
        <v>4</v>
      </c>
      <c r="E40" s="37">
        <v>1</v>
      </c>
      <c r="F40" s="37"/>
      <c r="G40" s="14">
        <v>0</v>
      </c>
      <c r="H40" s="14">
        <f t="shared" si="3"/>
        <v>0</v>
      </c>
      <c r="I40" s="16"/>
    </row>
    <row r="41" spans="1:9" s="1" customFormat="1" ht="12.75" customHeight="1" x14ac:dyDescent="0.2">
      <c r="A41" s="36"/>
      <c r="B41" s="86" t="s">
        <v>63</v>
      </c>
      <c r="C41" s="87"/>
      <c r="D41" s="13" t="s">
        <v>4</v>
      </c>
      <c r="E41" s="37">
        <v>1</v>
      </c>
      <c r="F41" s="37"/>
      <c r="G41" s="14">
        <v>0</v>
      </c>
      <c r="H41" s="14">
        <f t="shared" si="3"/>
        <v>0</v>
      </c>
      <c r="I41" s="16"/>
    </row>
    <row r="42" spans="1:9" s="1" customFormat="1" ht="12.75" customHeight="1" x14ac:dyDescent="0.2">
      <c r="A42" s="36"/>
      <c r="B42" s="86" t="s">
        <v>48</v>
      </c>
      <c r="C42" s="87"/>
      <c r="D42" s="13" t="s">
        <v>4</v>
      </c>
      <c r="E42" s="37">
        <v>1</v>
      </c>
      <c r="F42" s="37"/>
      <c r="G42" s="14">
        <v>0</v>
      </c>
      <c r="H42" s="14">
        <f t="shared" si="3"/>
        <v>0</v>
      </c>
      <c r="I42" s="16"/>
    </row>
    <row r="43" spans="1:9" s="1" customFormat="1" ht="12.75" customHeight="1" x14ac:dyDescent="0.2">
      <c r="A43" s="36" t="s">
        <v>45</v>
      </c>
      <c r="B43" s="86" t="s">
        <v>61</v>
      </c>
      <c r="C43" s="87"/>
      <c r="D43" s="13" t="s">
        <v>9</v>
      </c>
      <c r="E43" s="37">
        <v>1</v>
      </c>
      <c r="F43" s="37"/>
      <c r="G43" s="14">
        <v>0</v>
      </c>
      <c r="H43" s="14">
        <f t="shared" si="3"/>
        <v>0</v>
      </c>
      <c r="I43" s="16"/>
    </row>
    <row r="44" spans="1:9" s="1" customFormat="1" ht="12.75" customHeight="1" x14ac:dyDescent="0.2">
      <c r="A44" s="36" t="s">
        <v>46</v>
      </c>
      <c r="B44" s="86" t="s">
        <v>65</v>
      </c>
      <c r="C44" s="87"/>
      <c r="D44" s="13" t="s">
        <v>6</v>
      </c>
      <c r="E44" s="37">
        <v>24</v>
      </c>
      <c r="F44" s="37"/>
      <c r="G44" s="14">
        <v>0</v>
      </c>
      <c r="H44" s="14">
        <f>E44*G44</f>
        <v>0</v>
      </c>
      <c r="I44" s="16"/>
    </row>
    <row r="45" spans="1:9" s="1" customFormat="1" ht="12.75" customHeight="1" x14ac:dyDescent="0.2">
      <c r="A45" s="36" t="s">
        <v>59</v>
      </c>
      <c r="B45" s="86" t="s">
        <v>66</v>
      </c>
      <c r="C45" s="87"/>
      <c r="D45" s="13" t="s">
        <v>4</v>
      </c>
      <c r="E45" s="37">
        <v>1</v>
      </c>
      <c r="F45" s="37"/>
      <c r="G45" s="14">
        <v>0</v>
      </c>
      <c r="H45" s="14">
        <f>E45*G45</f>
        <v>0</v>
      </c>
      <c r="I45" s="16"/>
    </row>
    <row r="46" spans="1:9" s="1" customFormat="1" ht="12.75" customHeight="1" x14ac:dyDescent="0.2">
      <c r="A46" s="36"/>
      <c r="B46" s="38"/>
      <c r="C46" s="65"/>
      <c r="D46" s="13"/>
      <c r="E46" s="37"/>
      <c r="F46" s="37"/>
      <c r="G46" s="14"/>
      <c r="H46" s="14"/>
      <c r="I46" s="16"/>
    </row>
    <row r="47" spans="1:9" s="1" customFormat="1" ht="12.75" customHeight="1" x14ac:dyDescent="0.2">
      <c r="A47" s="31" t="s">
        <v>21</v>
      </c>
      <c r="B47" s="84" t="s">
        <v>22</v>
      </c>
      <c r="C47" s="85"/>
      <c r="D47" s="13"/>
      <c r="E47" s="37"/>
      <c r="F47" s="37"/>
      <c r="G47" s="14"/>
      <c r="H47" s="14"/>
      <c r="I47" s="16"/>
    </row>
    <row r="48" spans="1:9" s="1" customFormat="1" ht="12.75" customHeight="1" x14ac:dyDescent="0.2">
      <c r="A48" s="36"/>
      <c r="B48" s="86"/>
      <c r="C48" s="87"/>
      <c r="D48" s="13" t="s">
        <v>4</v>
      </c>
      <c r="E48" s="37">
        <v>1</v>
      </c>
      <c r="F48" s="37"/>
      <c r="G48" s="14">
        <v>2500</v>
      </c>
      <c r="H48" s="14">
        <f>E48*G48</f>
        <v>2500</v>
      </c>
      <c r="I48" s="16"/>
    </row>
    <row r="49" spans="1:9" s="1" customFormat="1" ht="12.75" customHeight="1" x14ac:dyDescent="0.2">
      <c r="A49" s="36"/>
      <c r="B49" s="38"/>
      <c r="C49" s="39"/>
      <c r="D49" s="13"/>
      <c r="E49" s="37"/>
      <c r="F49" s="37"/>
      <c r="G49" s="27"/>
      <c r="H49" s="5"/>
      <c r="I49" s="16"/>
    </row>
    <row r="50" spans="1:9" ht="8.25" customHeight="1" x14ac:dyDescent="0.2">
      <c r="A50" s="45"/>
      <c r="B50" s="46"/>
      <c r="C50" s="47"/>
      <c r="D50" s="48"/>
      <c r="E50" s="40"/>
      <c r="F50" s="40"/>
      <c r="G50" s="41"/>
      <c r="H50" s="29"/>
    </row>
    <row r="51" spans="1:9" x14ac:dyDescent="0.2">
      <c r="A51" s="11"/>
      <c r="C51" s="49"/>
      <c r="G51" s="44" t="s">
        <v>35</v>
      </c>
      <c r="H51" s="14">
        <f>SUM(H20:H49)</f>
        <v>2500</v>
      </c>
    </row>
    <row r="52" spans="1:9" x14ac:dyDescent="0.2">
      <c r="A52" s="11"/>
      <c r="C52" s="49"/>
      <c r="G52" s="44" t="s">
        <v>37</v>
      </c>
      <c r="H52" s="14">
        <f>H51*20%</f>
        <v>500</v>
      </c>
    </row>
    <row r="53" spans="1:9" x14ac:dyDescent="0.2">
      <c r="A53" s="50"/>
      <c r="B53" s="33"/>
      <c r="C53" s="51"/>
      <c r="D53" s="2"/>
      <c r="E53" s="35"/>
      <c r="F53" s="35"/>
      <c r="G53" s="52" t="s">
        <v>8</v>
      </c>
      <c r="H53" s="30">
        <f>H51+H52</f>
        <v>3000</v>
      </c>
    </row>
    <row r="54" spans="1:9" x14ac:dyDescent="0.2">
      <c r="A54" s="28"/>
      <c r="B54" s="53"/>
      <c r="C54" s="54"/>
      <c r="D54" s="55"/>
      <c r="E54" s="42"/>
      <c r="F54" s="42"/>
      <c r="G54" s="43"/>
      <c r="H54" s="17"/>
    </row>
    <row r="55" spans="1:9" x14ac:dyDescent="0.2">
      <c r="A55" s="46"/>
      <c r="B55" s="46"/>
      <c r="C55" s="56"/>
    </row>
    <row r="56" spans="1:9" x14ac:dyDescent="0.2">
      <c r="A56" s="26" t="s">
        <v>42</v>
      </c>
      <c r="C56" s="32"/>
    </row>
    <row r="57" spans="1:9" x14ac:dyDescent="0.2">
      <c r="A57" s="26" t="s">
        <v>33</v>
      </c>
      <c r="C57" s="74" t="s">
        <v>34</v>
      </c>
    </row>
    <row r="58" spans="1:9" x14ac:dyDescent="0.2">
      <c r="C58" s="32"/>
    </row>
    <row r="59" spans="1:9" x14ac:dyDescent="0.2">
      <c r="C59" s="32"/>
    </row>
  </sheetData>
  <mergeCells count="33">
    <mergeCell ref="B47:C47"/>
    <mergeCell ref="B48:C48"/>
    <mergeCell ref="B36:C36"/>
    <mergeCell ref="B37:C37"/>
    <mergeCell ref="B44:C44"/>
    <mergeCell ref="B39:C39"/>
    <mergeCell ref="B42:C42"/>
    <mergeCell ref="B38:C38"/>
    <mergeCell ref="B43:C43"/>
    <mergeCell ref="B41:C41"/>
    <mergeCell ref="B40:C40"/>
    <mergeCell ref="B45:C45"/>
    <mergeCell ref="B29:C29"/>
    <mergeCell ref="B30:C30"/>
    <mergeCell ref="B31:C31"/>
    <mergeCell ref="B32:C32"/>
    <mergeCell ref="B33:C33"/>
    <mergeCell ref="B34:C34"/>
    <mergeCell ref="B35:C35"/>
    <mergeCell ref="A8:H8"/>
    <mergeCell ref="A11:H11"/>
    <mergeCell ref="A13:C13"/>
    <mergeCell ref="A14:H14"/>
    <mergeCell ref="B16:C16"/>
    <mergeCell ref="B19:C19"/>
    <mergeCell ref="B20:C20"/>
    <mergeCell ref="B24:C24"/>
    <mergeCell ref="B22:C22"/>
    <mergeCell ref="B21:C21"/>
    <mergeCell ref="B23:C23"/>
    <mergeCell ref="B18:C18"/>
    <mergeCell ref="B26:C26"/>
    <mergeCell ref="B25:C25"/>
  </mergeCells>
  <phoneticPr fontId="12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Feuille1</vt:lpstr>
      <vt:lpstr>Feuille1!Impression_des_titres</vt:lpstr>
      <vt:lpstr>Feuille1!Zone_d_impression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BOURGOIN Barbara</cp:lastModifiedBy>
  <cp:lastPrinted>2025-09-24T10:07:38Z</cp:lastPrinted>
  <dcterms:created xsi:type="dcterms:W3CDTF">1996-10-21T11:03:58Z</dcterms:created>
  <dcterms:modified xsi:type="dcterms:W3CDTF">2026-06-03T15:38:22Z</dcterms:modified>
</cp:coreProperties>
</file>